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 %"/>
    <numFmt numFmtId="165" formatCode="#,##0 €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2F4F3E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bottom style="thin">
        <color rgb="00D5DDD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2" fillId="0" borderId="0" pivotButton="0" quotePrefix="0" xfId="0"/>
    <xf numFmtId="0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5" customWidth="1" min="4" max="4"/>
    <col width="13" customWidth="1" min="5" max="5"/>
    <col width="15" customWidth="1" min="6" max="6"/>
    <col width="2" customWidth="1" min="7" max="7"/>
  </cols>
  <sheetData>
    <row r="1">
      <c r="A1" s="1" t="inlineStr">
        <is>
          <t>Bilan — témoin</t>
        </is>
      </c>
    </row>
    <row r="3">
      <c r="A3" s="2" t="inlineStr">
        <is>
          <t>Programme</t>
        </is>
      </c>
    </row>
    <row r="4">
      <c r="A4" t="inlineStr">
        <is>
          <t>Terrain (m²)</t>
        </is>
      </c>
      <c r="B4" t="n">
        <v>1746</v>
      </c>
    </row>
    <row r="5">
      <c r="A5" t="inlineStr">
        <is>
          <t>Surface taxable (m²)</t>
        </is>
      </c>
      <c r="B5" t="n">
        <v>2500</v>
      </c>
    </row>
    <row r="6">
      <c r="A6" t="inlineStr">
        <is>
          <t>Loyer (€/m² SUV)</t>
        </is>
      </c>
    </row>
    <row r="8">
      <c r="A8" s="2" t="inlineStr">
        <is>
          <t>Produits</t>
        </is>
      </c>
    </row>
    <row r="9">
      <c r="A9" s="3" t="inlineStr">
        <is>
          <t>Produit</t>
        </is>
      </c>
      <c r="B9" s="3" t="inlineStr">
        <is>
          <t>Lots</t>
        </is>
      </c>
      <c r="C9" s="3" t="inlineStr">
        <is>
          <t>SUV m²</t>
        </is>
      </c>
      <c r="D9" s="3" t="inlineStr">
        <is>
          <t>Prix TTC/m²</t>
        </is>
      </c>
      <c r="E9" s="3" t="inlineStr">
        <is>
          <t>TVA</t>
        </is>
      </c>
      <c r="F9" s="3" t="inlineStr">
        <is>
          <t>CA TTC</t>
        </is>
      </c>
      <c r="G9" s="3" t="inlineStr">
        <is>
          <t>CA HT</t>
        </is>
      </c>
    </row>
    <row r="10">
      <c r="A10" t="inlineStr">
        <is>
          <t>Produit 1</t>
        </is>
      </c>
      <c r="B10" t="n">
        <v>26</v>
      </c>
      <c r="C10" t="n">
        <v>1372</v>
      </c>
      <c r="D10" t="n">
        <v>4857.142857142857</v>
      </c>
      <c r="E10" s="4" t="n">
        <v>0.021</v>
      </c>
      <c r="F10" s="5">
        <f>C10*D10</f>
        <v/>
      </c>
      <c r="G10" s="5">
        <f>F10/(1+E10)</f>
        <v/>
      </c>
    </row>
    <row r="11">
      <c r="A11" t="inlineStr">
        <is>
          <t>Produit 2</t>
        </is>
      </c>
      <c r="B11" t="n">
        <v>20</v>
      </c>
      <c r="C11" t="n">
        <v>1188</v>
      </c>
      <c r="D11" t="n">
        <v>4833.333333333333</v>
      </c>
      <c r="E11" s="4" t="n">
        <v>0.021</v>
      </c>
      <c r="F11" s="5">
        <f>C11*D11</f>
        <v/>
      </c>
      <c r="G11" s="5">
        <f>F11/(1+E11)</f>
        <v/>
      </c>
    </row>
    <row r="12">
      <c r="A12" s="6" t="inlineStr">
        <is>
          <t>Total produits</t>
        </is>
      </c>
      <c r="B12" s="7">
        <f>SUM(B10:B11)</f>
        <v/>
      </c>
      <c r="C12" s="7">
        <f>SUM(C10:C11)</f>
        <v/>
      </c>
      <c r="D12" s="7" t="n"/>
      <c r="E12" s="7" t="n"/>
      <c r="F12" s="8">
        <f>SUM(F10:F11)</f>
        <v/>
      </c>
      <c r="G12" s="8">
        <f>SUM(G10:G11)</f>
        <v/>
      </c>
    </row>
    <row r="14">
      <c r="A14" s="3" t="inlineStr">
        <is>
          <t>Libellé</t>
        </is>
      </c>
      <c r="B14" s="3" t="inlineStr">
        <is>
          <t>Assiette</t>
        </is>
      </c>
      <c r="C14" s="3" t="inlineStr">
        <is>
          <t>Taux</t>
        </is>
      </c>
      <c r="D14" s="3" t="inlineStr">
        <is>
          <t>HT</t>
        </is>
      </c>
      <c r="E14" s="3" t="inlineStr">
        <is>
          <t>TVA</t>
        </is>
      </c>
      <c r="F14" s="3" t="inlineStr">
        <is>
          <t>TTC</t>
        </is>
      </c>
    </row>
    <row r="15">
      <c r="A15" s="9" t="inlineStr">
        <is>
          <t>Achat terrain privé</t>
        </is>
      </c>
      <c r="B15" s="10">
        <f>B4</f>
        <v/>
      </c>
      <c r="C15" s="11" t="n">
        <v>1000</v>
      </c>
      <c r="D15" s="11">
        <f>(B15*C15)</f>
        <v/>
      </c>
      <c r="E15" s="11">
        <f>0</f>
        <v/>
      </c>
      <c r="F15" s="11">
        <f>D15+E15</f>
        <v/>
      </c>
    </row>
    <row r="16">
      <c r="A16" s="9" t="inlineStr">
        <is>
          <t>Commission apport</t>
        </is>
      </c>
      <c r="B16" s="11">
        <f>D15</f>
        <v/>
      </c>
      <c r="C16" s="12" t="n">
        <v>3</v>
      </c>
      <c r="D16" s="11">
        <f>(B16*C16/100)/(1+0.085)</f>
        <v/>
      </c>
      <c r="E16" s="11">
        <f>(B16*C16/100)-D16</f>
        <v/>
      </c>
      <c r="F16" s="11">
        <f>(B16*C16/100)</f>
        <v/>
      </c>
    </row>
    <row r="17">
      <c r="A17" s="9" t="inlineStr">
        <is>
          <t>Notaire terrain</t>
        </is>
      </c>
      <c r="B17" s="11">
        <f>D15</f>
        <v/>
      </c>
      <c r="C17" s="12" t="n">
        <v>1.5</v>
      </c>
      <c r="D17" s="11">
        <f>(B17*C17/100)</f>
        <v/>
      </c>
      <c r="E17" s="11">
        <f>D17*0.06</f>
        <v/>
      </c>
      <c r="F17" s="11">
        <f>D17+E17</f>
        <v/>
      </c>
    </row>
    <row r="18">
      <c r="A18" s="9" t="inlineStr">
        <is>
          <t>Notaire prêt</t>
        </is>
      </c>
      <c r="B18" s="9" t="n">
        <v>800000</v>
      </c>
      <c r="C18" s="12" t="n">
        <v>1.5</v>
      </c>
      <c r="D18" s="11">
        <f>(B18*C18/100)</f>
        <v/>
      </c>
      <c r="E18" s="11">
        <f>D18*0.06</f>
        <v/>
      </c>
      <c r="F18" s="11">
        <f>D18+E18</f>
        <v/>
      </c>
    </row>
    <row r="19">
      <c r="A19" s="9" t="inlineStr">
        <is>
          <t>Taxe logements</t>
        </is>
      </c>
      <c r="B19" s="10">
        <f>B5</f>
        <v/>
      </c>
      <c r="C19" s="11" t="n">
        <v>22.3</v>
      </c>
      <c r="D19" s="11">
        <f>(B19*C19)</f>
        <v/>
      </c>
      <c r="E19" s="11">
        <f>0</f>
        <v/>
      </c>
      <c r="F19" s="11">
        <f>D19+E19</f>
        <v/>
      </c>
    </row>
    <row r="20">
      <c r="A20" s="9" t="inlineStr">
        <is>
          <t>TA parking extérieurs + archéo</t>
        </is>
      </c>
      <c r="B20" s="10">
        <f>B5</f>
        <v/>
      </c>
      <c r="C20" s="11" t="n">
        <v>11.15</v>
      </c>
      <c r="D20" s="11">
        <f>(B20*C20)</f>
        <v/>
      </c>
      <c r="E20" s="11">
        <f>0</f>
        <v/>
      </c>
      <c r="F20" s="11">
        <f>D20+E20</f>
        <v/>
      </c>
    </row>
    <row r="21">
      <c r="A21" s="9" t="inlineStr">
        <is>
          <t>TRE</t>
        </is>
      </c>
      <c r="B21" s="10">
        <f>B5</f>
        <v/>
      </c>
      <c r="C21" s="11" t="n">
        <v>20.8</v>
      </c>
      <c r="D21" s="11">
        <f>(B21*C21)</f>
        <v/>
      </c>
      <c r="E21" s="11">
        <f>0</f>
        <v/>
      </c>
      <c r="F21" s="11">
        <f>D21+E21</f>
        <v/>
      </c>
    </row>
    <row r="22">
      <c r="A22" s="9" t="inlineStr">
        <is>
          <t>Taxe d'archéologie préventive</t>
        </is>
      </c>
      <c r="B22" s="10">
        <f>B5</f>
        <v/>
      </c>
      <c r="C22" s="11" t="n">
        <v>3</v>
      </c>
      <c r="D22" s="11">
        <f>(B22*C22)</f>
        <v/>
      </c>
      <c r="E22" s="11">
        <f>0</f>
        <v/>
      </c>
      <c r="F22" s="11">
        <f>D22+E22</f>
        <v/>
      </c>
    </row>
    <row r="23">
      <c r="A23" s="9" t="inlineStr">
        <is>
          <t>Relevé topo</t>
        </is>
      </c>
      <c r="B23" s="9" t="n"/>
      <c r="C23" s="11" t="n">
        <v>3500</v>
      </c>
      <c r="D23" s="11">
        <f>C23</f>
        <v/>
      </c>
      <c r="E23" s="11">
        <f>D23*0.085</f>
        <v/>
      </c>
      <c r="F23" s="11">
        <f>D23+E23</f>
        <v/>
      </c>
    </row>
    <row r="24">
      <c r="A24" s="9" t="inlineStr">
        <is>
          <t>Géomètre bornage</t>
        </is>
      </c>
      <c r="B24" s="9" t="n"/>
      <c r="C24" s="11" t="n">
        <v>2000</v>
      </c>
      <c r="D24" s="11">
        <f>C24</f>
        <v/>
      </c>
      <c r="E24" s="11">
        <f>D24*0.085</f>
        <v/>
      </c>
      <c r="F24" s="11">
        <f>D24+E24</f>
        <v/>
      </c>
    </row>
    <row r="25">
      <c r="A25" s="9" t="inlineStr">
        <is>
          <t>Étude de sol</t>
        </is>
      </c>
      <c r="B25" s="9" t="n"/>
      <c r="C25" s="11" t="n">
        <v>12500</v>
      </c>
      <c r="D25" s="11">
        <f>C25</f>
        <v/>
      </c>
      <c r="E25" s="11">
        <f>D25*0.085</f>
        <v/>
      </c>
      <c r="F25" s="11">
        <f>D25+E25</f>
        <v/>
      </c>
    </row>
    <row r="26">
      <c r="A26" s="9" t="inlineStr">
        <is>
          <t>Étude hydraulique</t>
        </is>
      </c>
      <c r="B26" s="9" t="n"/>
      <c r="C26" s="11" t="n">
        <v>4500</v>
      </c>
      <c r="D26" s="11">
        <f>C26</f>
        <v/>
      </c>
      <c r="E26" s="11">
        <f>D26*0.085</f>
        <v/>
      </c>
      <c r="F26" s="11">
        <f>D26+E26</f>
        <v/>
      </c>
    </row>
    <row r="27">
      <c r="A27" s="9" t="inlineStr">
        <is>
          <t>Constat affichage PC</t>
        </is>
      </c>
      <c r="B27" s="9" t="n"/>
      <c r="C27" s="11" t="n">
        <v>900</v>
      </c>
      <c r="D27" s="11">
        <f>C27</f>
        <v/>
      </c>
      <c r="E27" s="11">
        <f>D27*0.085</f>
        <v/>
      </c>
      <c r="F27" s="11">
        <f>D27+E27</f>
        <v/>
      </c>
    </row>
    <row r="28">
      <c r="A28" s="9" t="inlineStr">
        <is>
          <t>Branchements</t>
        </is>
      </c>
      <c r="B28" s="10">
        <f>B12</f>
        <v/>
      </c>
      <c r="C28" s="11" t="n">
        <v>900</v>
      </c>
      <c r="D28" s="11">
        <f>(B28*C28)</f>
        <v/>
      </c>
      <c r="E28" s="11">
        <f>D28*0.085</f>
        <v/>
      </c>
      <c r="F28" s="11">
        <f>D28+E28</f>
        <v/>
      </c>
    </row>
    <row r="29">
      <c r="A29" s="9" t="inlineStr">
        <is>
          <t>Transfo EDF</t>
        </is>
      </c>
      <c r="B29" s="9" t="n"/>
      <c r="C29" s="11" t="n">
        <v>100000</v>
      </c>
      <c r="D29" s="11">
        <f>C29</f>
        <v/>
      </c>
      <c r="E29" s="11">
        <f>D29*0.085</f>
        <v/>
      </c>
      <c r="F29" s="11">
        <f>D29+E29</f>
        <v/>
      </c>
    </row>
    <row r="30">
      <c r="A30" s="9" t="inlineStr">
        <is>
          <t>Diag amiante</t>
        </is>
      </c>
      <c r="B30" s="9" t="n"/>
      <c r="C30" s="11" t="n">
        <v>2000</v>
      </c>
      <c r="D30" s="11">
        <f>C30</f>
        <v/>
      </c>
      <c r="E30" s="11">
        <f>D30*0.085</f>
        <v/>
      </c>
      <c r="F30" s="11">
        <f>D30+E30</f>
        <v/>
      </c>
    </row>
    <row r="31">
      <c r="A31" s="9" t="inlineStr">
        <is>
          <t>Défrichage · préparation terrain</t>
        </is>
      </c>
      <c r="B31" s="9" t="n"/>
      <c r="C31" s="11" t="n">
        <v>100000</v>
      </c>
      <c r="D31" s="11">
        <f>C31</f>
        <v/>
      </c>
      <c r="E31" s="11">
        <f>D31*0.085</f>
        <v/>
      </c>
      <c r="F31" s="11">
        <f>D31+E31</f>
        <v/>
      </c>
    </row>
    <row r="32">
      <c r="A32" s="9" t="inlineStr">
        <is>
          <t>Aléas</t>
        </is>
      </c>
      <c r="B32" s="11">
        <f>F12</f>
        <v/>
      </c>
      <c r="C32" s="12" t="n">
        <v>0</v>
      </c>
      <c r="D32" s="11">
        <f>(B32*C32/100)</f>
        <v/>
      </c>
      <c r="E32" s="11">
        <f>D32*0.085</f>
        <v/>
      </c>
      <c r="F32" s="11">
        <f>D32+E32</f>
        <v/>
      </c>
    </row>
    <row r="33">
      <c r="A33" s="6" t="inlineStr">
        <is>
          <t>Total — Charge foncière</t>
        </is>
      </c>
      <c r="B33" s="7" t="n"/>
      <c r="C33" s="7" t="n"/>
      <c r="D33" s="8">
        <f>SUM(D15:D32)</f>
        <v/>
      </c>
      <c r="E33" s="8">
        <f>SUM(E15:E32)</f>
        <v/>
      </c>
      <c r="F33" s="8">
        <f>SUM(F15:F32)</f>
        <v/>
      </c>
    </row>
    <row r="34">
      <c r="A34" s="9" t="inlineStr">
        <is>
          <t>Construction yc VRD</t>
        </is>
      </c>
      <c r="B34" s="10">
        <f>C12</f>
        <v/>
      </c>
      <c r="C34" s="11" t="n">
        <v>2292.96875</v>
      </c>
      <c r="D34" s="11">
        <f>(B34*C34)</f>
        <v/>
      </c>
      <c r="E34" s="11">
        <f>D34*0.085</f>
        <v/>
      </c>
      <c r="F34" s="11">
        <f>D34+E34</f>
        <v/>
      </c>
    </row>
    <row r="35">
      <c r="A35" s="9" t="inlineStr">
        <is>
          <t>Déco et aménagement intérieur</t>
        </is>
      </c>
      <c r="B35" s="9" t="n"/>
      <c r="C35" s="11" t="n">
        <v>30000</v>
      </c>
      <c r="D35" s="11">
        <f>C35</f>
        <v/>
      </c>
      <c r="E35" s="11">
        <f>D35*0.085</f>
        <v/>
      </c>
      <c r="F35" s="11">
        <f>D35+E35</f>
        <v/>
      </c>
    </row>
    <row r="36">
      <c r="A36" s="9" t="inlineStr">
        <is>
          <t>Hono. architecte conception</t>
        </is>
      </c>
      <c r="B36" s="11">
        <f>D34</f>
        <v/>
      </c>
      <c r="C36" s="12" t="n">
        <v>2</v>
      </c>
      <c r="D36" s="11">
        <f>(B36*C36/100)</f>
        <v/>
      </c>
      <c r="E36" s="11">
        <f>D36*0.085</f>
        <v/>
      </c>
      <c r="F36" s="11">
        <f>D36+E36</f>
        <v/>
      </c>
    </row>
    <row r="37">
      <c r="A37" s="9" t="inlineStr">
        <is>
          <t>Honos paysagiste hydrau</t>
        </is>
      </c>
      <c r="B37" s="11">
        <f>D34</f>
        <v/>
      </c>
      <c r="C37" s="12" t="n">
        <v>0.2</v>
      </c>
      <c r="D37" s="11">
        <f>(B37*C37/100)</f>
        <v/>
      </c>
      <c r="E37" s="11">
        <f>D37*0.085</f>
        <v/>
      </c>
      <c r="F37" s="11">
        <f>D37+E37</f>
        <v/>
      </c>
    </row>
    <row r="38">
      <c r="A38" s="9" t="inlineStr">
        <is>
          <t>Hono MOE + BET</t>
        </is>
      </c>
      <c r="B38" s="11">
        <f>D34</f>
        <v/>
      </c>
      <c r="C38" s="12" t="n">
        <v>3.8</v>
      </c>
      <c r="D38" s="11">
        <f>(B38*C38/100)</f>
        <v/>
      </c>
      <c r="E38" s="11">
        <f>D38*0.085</f>
        <v/>
      </c>
      <c r="F38" s="11">
        <f>D38+E38</f>
        <v/>
      </c>
    </row>
    <row r="39">
      <c r="A39" s="9" t="inlineStr">
        <is>
          <t>Honos OPC</t>
        </is>
      </c>
      <c r="B39" s="11">
        <f>D34</f>
        <v/>
      </c>
      <c r="C39" s="12" t="n">
        <v>0.6</v>
      </c>
      <c r="D39" s="11">
        <f>(B39*C39/100)</f>
        <v/>
      </c>
      <c r="E39" s="11">
        <f>D39*0.085</f>
        <v/>
      </c>
      <c r="F39" s="11">
        <f>D39+E39</f>
        <v/>
      </c>
    </row>
    <row r="40">
      <c r="A40" s="9" t="inlineStr">
        <is>
          <t>Labels GIEP et NF</t>
        </is>
      </c>
      <c r="B40" s="9" t="n"/>
      <c r="C40" s="11" t="n">
        <v>28000</v>
      </c>
      <c r="D40" s="11">
        <f>C40</f>
        <v/>
      </c>
      <c r="E40" s="11">
        <f>D40*0.085</f>
        <v/>
      </c>
      <c r="F40" s="11">
        <f>D40+E40</f>
        <v/>
      </c>
    </row>
    <row r="41">
      <c r="A41" s="9" t="inlineStr">
        <is>
          <t>SPS</t>
        </is>
      </c>
      <c r="B41" s="11">
        <f>D34</f>
        <v/>
      </c>
      <c r="C41" s="12" t="n">
        <v>0.26</v>
      </c>
      <c r="D41" s="11">
        <f>(B41*C41/100)</f>
        <v/>
      </c>
      <c r="E41" s="11">
        <f>D41*0.085</f>
        <v/>
      </c>
      <c r="F41" s="11">
        <f>D41+E41</f>
        <v/>
      </c>
    </row>
    <row r="42">
      <c r="A42" s="9" t="inlineStr">
        <is>
          <t>Bureau de contrôle</t>
        </is>
      </c>
      <c r="B42" s="11">
        <f>D34</f>
        <v/>
      </c>
      <c r="C42" s="12" t="n">
        <v>0.86</v>
      </c>
      <c r="D42" s="11">
        <f>(B42*C42/100)</f>
        <v/>
      </c>
      <c r="E42" s="11">
        <f>D42*0.085</f>
        <v/>
      </c>
      <c r="F42" s="11">
        <f>D42+E42</f>
        <v/>
      </c>
    </row>
    <row r="43">
      <c r="A43" s="9" t="inlineStr">
        <is>
          <t>Imprévus (aléas techniques)</t>
        </is>
      </c>
      <c r="B43" s="11">
        <f>D34</f>
        <v/>
      </c>
      <c r="C43" s="12" t="n">
        <v>1.533219761499148</v>
      </c>
      <c r="D43" s="11">
        <f>(B43*C43/100)</f>
        <v/>
      </c>
      <c r="E43" s="11">
        <f>D43*0.085</f>
        <v/>
      </c>
      <c r="F43" s="11">
        <f>D43+E43</f>
        <v/>
      </c>
    </row>
    <row r="44">
      <c r="A44" s="6" t="inlineStr">
        <is>
          <t>Total — Construction et honoraires</t>
        </is>
      </c>
      <c r="B44" s="7" t="n"/>
      <c r="C44" s="7" t="n"/>
      <c r="D44" s="8">
        <f>SUM(D34:D43)</f>
        <v/>
      </c>
      <c r="E44" s="8">
        <f>SUM(E34:E43)</f>
        <v/>
      </c>
      <c r="F44" s="8">
        <f>SUM(F34:F43)</f>
        <v/>
      </c>
    </row>
    <row r="45">
      <c r="A45" s="9" t="inlineStr">
        <is>
          <t>Publicité commerciale</t>
        </is>
      </c>
      <c r="B45" s="11">
        <f>F12</f>
        <v/>
      </c>
      <c r="C45" s="12" t="n">
        <v>0.2</v>
      </c>
      <c r="D45" s="11">
        <f>(B45*C45/100)</f>
        <v/>
      </c>
      <c r="E45" s="11">
        <f>D45*0.085</f>
        <v/>
      </c>
      <c r="F45" s="11">
        <f>D45+E45</f>
        <v/>
      </c>
    </row>
    <row r="46">
      <c r="A46" s="9" t="inlineStr">
        <is>
          <t>Juridique / divers</t>
        </is>
      </c>
      <c r="B46" s="11">
        <f>F12</f>
        <v/>
      </c>
      <c r="C46" s="12" t="n">
        <v>0.04</v>
      </c>
      <c r="D46" s="11">
        <f>(B46*C46/100)</f>
        <v/>
      </c>
      <c r="E46" s="11">
        <f>D46*0.085</f>
        <v/>
      </c>
      <c r="F46" s="11">
        <f>D46+E46</f>
        <v/>
      </c>
    </row>
    <row r="47">
      <c r="A47" s="9" t="inlineStr">
        <is>
          <t>CVAE (ex taxe pro)</t>
        </is>
      </c>
      <c r="B47" s="9" t="n">
        <v>848970</v>
      </c>
      <c r="C47" s="12" t="n">
        <v>0.26</v>
      </c>
      <c r="D47" s="11">
        <f>(B47*C47/100)</f>
        <v/>
      </c>
      <c r="E47" s="11">
        <f>0</f>
        <v/>
      </c>
      <c r="F47" s="11">
        <f>D47+E47</f>
        <v/>
      </c>
    </row>
    <row r="48">
      <c r="A48" s="9" t="inlineStr">
        <is>
          <t>M.O.D. AMO</t>
        </is>
      </c>
      <c r="B48" s="11">
        <f>F12</f>
        <v/>
      </c>
      <c r="C48" s="12" t="n">
        <v>5</v>
      </c>
      <c r="D48" s="11">
        <f>(B48*C48/100)</f>
        <v/>
      </c>
      <c r="E48" s="11">
        <f>D48*0.085</f>
        <v/>
      </c>
      <c r="F48" s="11">
        <f>D48+E48</f>
        <v/>
      </c>
    </row>
    <row r="49">
      <c r="A49" s="9" t="inlineStr">
        <is>
          <t>Garantie achèvement</t>
        </is>
      </c>
      <c r="B49" s="11">
        <f>F12</f>
        <v/>
      </c>
      <c r="C49" s="12" t="n">
        <v>1</v>
      </c>
      <c r="D49" s="11">
        <f>(B49*C49/100)</f>
        <v/>
      </c>
      <c r="E49" s="11">
        <f>0</f>
        <v/>
      </c>
      <c r="F49" s="11">
        <f>D49+E49</f>
        <v/>
      </c>
    </row>
    <row r="50">
      <c r="A50" s="9" t="inlineStr">
        <is>
          <t>Garantie de paiement</t>
        </is>
      </c>
      <c r="B50" s="11">
        <f>D34*(1+0.085)/2</f>
        <v/>
      </c>
      <c r="C50" s="12" t="n">
        <v>0</v>
      </c>
      <c r="D50" s="11">
        <f>(B50*C50/100)</f>
        <v/>
      </c>
      <c r="E50" s="11">
        <f>0</f>
        <v/>
      </c>
      <c r="F50" s="11">
        <f>D50+E50</f>
        <v/>
      </c>
    </row>
    <row r="51">
      <c r="A51" s="9" t="inlineStr">
        <is>
          <t>Frais financiers</t>
        </is>
      </c>
      <c r="B51" s="11">
        <f>F12</f>
        <v/>
      </c>
      <c r="C51" s="12" t="n">
        <v>0.5</v>
      </c>
      <c r="D51" s="11">
        <f>(B51*C51/100)</f>
        <v/>
      </c>
      <c r="E51" s="11">
        <f>0</f>
        <v/>
      </c>
      <c r="F51" s="11">
        <f>D51+E51</f>
        <v/>
      </c>
    </row>
    <row r="52">
      <c r="A52" s="9" t="inlineStr">
        <is>
          <t>Assurances D.O / C.N.R</t>
        </is>
      </c>
      <c r="B52" s="11">
        <f>SUM(F34:F43)+F25-F43</f>
        <v/>
      </c>
      <c r="C52" s="12" t="n">
        <v>1.32</v>
      </c>
      <c r="D52" s="11">
        <f>(B52*C52/100)</f>
        <v/>
      </c>
      <c r="E52" s="11">
        <f>0</f>
        <v/>
      </c>
      <c r="F52" s="11">
        <f>D52+E52</f>
        <v/>
      </c>
    </row>
    <row r="53">
      <c r="A53" s="9" t="inlineStr">
        <is>
          <t>Assurance TRC + GAREAT</t>
        </is>
      </c>
      <c r="B53" s="11">
        <f>SUM(D34:D43)+D25-D43</f>
        <v/>
      </c>
      <c r="C53" s="12" t="n">
        <v>0.34</v>
      </c>
      <c r="D53" s="11">
        <f>(B53*C53/100)</f>
        <v/>
      </c>
      <c r="E53" s="11">
        <f>0</f>
        <v/>
      </c>
      <c r="F53" s="11">
        <f>D53+E53</f>
        <v/>
      </c>
    </row>
    <row r="54">
      <c r="A54" s="9" t="inlineStr">
        <is>
          <t>Aléas</t>
        </is>
      </c>
      <c r="B54" s="11">
        <f>F12</f>
        <v/>
      </c>
      <c r="C54" s="12" t="n">
        <v>0</v>
      </c>
      <c r="D54" s="11">
        <f>(B54*C54/100)</f>
        <v/>
      </c>
      <c r="E54" s="11">
        <f>D54*0.085</f>
        <v/>
      </c>
      <c r="F54" s="11">
        <f>D54+E54</f>
        <v/>
      </c>
    </row>
    <row r="55">
      <c r="A55" s="6" t="inlineStr">
        <is>
          <t>Total — Gestion</t>
        </is>
      </c>
      <c r="B55" s="7" t="n"/>
      <c r="C55" s="7" t="n"/>
      <c r="D55" s="8">
        <f>SUM(D45:D54)</f>
        <v/>
      </c>
      <c r="E55" s="8">
        <f>SUM(E45:E54)</f>
        <v/>
      </c>
      <c r="F55" s="8">
        <f>SUM(F45:F54)</f>
        <v/>
      </c>
    </row>
    <row r="56">
      <c r="A56" s="9" t="inlineStr">
        <is>
          <t>Commercialisation logements — Produit 1</t>
        </is>
      </c>
      <c r="B56" s="11">
        <f>F10</f>
        <v/>
      </c>
      <c r="C56" s="12" t="n">
        <v>10</v>
      </c>
      <c r="D56" s="11">
        <f>(B56*C56/100)</f>
        <v/>
      </c>
      <c r="E56" s="11">
        <f>D56*0.085</f>
        <v/>
      </c>
      <c r="F56" s="11">
        <f>D56+E56</f>
        <v/>
      </c>
    </row>
    <row r="57">
      <c r="A57" s="9" t="inlineStr">
        <is>
          <t>Commercialisation logements — Produit 2</t>
        </is>
      </c>
      <c r="B57" s="11">
        <f>F11</f>
        <v/>
      </c>
      <c r="C57" s="12" t="n">
        <v>10</v>
      </c>
      <c r="D57" s="11">
        <f>(B57*C57/100)</f>
        <v/>
      </c>
      <c r="E57" s="11">
        <f>D57*0.085</f>
        <v/>
      </c>
      <c r="F57" s="11">
        <f>D57+E57</f>
        <v/>
      </c>
    </row>
    <row r="58">
      <c r="A58" s="9" t="inlineStr">
        <is>
          <t>Frais d'acte et de prêt — Pack</t>
        </is>
      </c>
      <c r="B58" s="11">
        <f>F10</f>
        <v/>
      </c>
      <c r="C58" s="12" t="n">
        <v>0</v>
      </c>
      <c r="D58" s="11">
        <f>(B58*C58/100)</f>
        <v/>
      </c>
      <c r="E58" s="11">
        <f>0</f>
        <v/>
      </c>
      <c r="F58" s="11">
        <f>D58+E58</f>
        <v/>
      </c>
    </row>
    <row r="59">
      <c r="A59" s="9" t="inlineStr">
        <is>
          <t>Frais package (int int) — Pack</t>
        </is>
      </c>
      <c r="B59" s="11">
        <f>F10</f>
        <v/>
      </c>
      <c r="C59" s="12" t="n">
        <v>0</v>
      </c>
      <c r="D59" s="11">
        <f>(B59*C59/100)</f>
        <v/>
      </c>
      <c r="E59" s="11">
        <f>0</f>
        <v/>
      </c>
      <c r="F59" s="11">
        <f>D59+E59</f>
        <v/>
      </c>
    </row>
    <row r="60">
      <c r="A60" s="9" t="inlineStr">
        <is>
          <t>Frais de proc et dossier bancaire — Pack</t>
        </is>
      </c>
      <c r="B60" s="10">
        <f>B12</f>
        <v/>
      </c>
      <c r="C60" s="11" t="n">
        <v>0</v>
      </c>
      <c r="D60" s="11">
        <f>(B60*C60)</f>
        <v/>
      </c>
      <c r="E60" s="11">
        <f>0</f>
        <v/>
      </c>
      <c r="F60" s="11">
        <f>D60+E60</f>
        <v/>
      </c>
    </row>
    <row r="61">
      <c r="A61" s="9" t="inlineStr">
        <is>
          <t>Garantie premier locataire — Pack</t>
        </is>
      </c>
      <c r="B61" s="11">
        <f>B6*C12</f>
        <v/>
      </c>
      <c r="C61" s="12" t="n">
        <v>0</v>
      </c>
      <c r="D61" s="11">
        <f>(B61*C61/100)</f>
        <v/>
      </c>
      <c r="E61" s="11">
        <f>0</f>
        <v/>
      </c>
      <c r="F61" s="11">
        <f>D61+E61</f>
        <v/>
      </c>
    </row>
    <row r="62">
      <c r="A62" s="9" t="inlineStr">
        <is>
          <t>Aléas</t>
        </is>
      </c>
      <c r="B62" s="11">
        <f>F12</f>
        <v/>
      </c>
      <c r="C62" s="12" t="n">
        <v>0</v>
      </c>
      <c r="D62" s="11">
        <f>(B62*C62/100)</f>
        <v/>
      </c>
      <c r="E62" s="11">
        <f>D62*0.085</f>
        <v/>
      </c>
      <c r="F62" s="11">
        <f>D62+E62</f>
        <v/>
      </c>
    </row>
    <row r="63">
      <c r="A63" s="6" t="inlineStr">
        <is>
          <t>Total — Commercialisation</t>
        </is>
      </c>
      <c r="B63" s="7" t="n"/>
      <c r="C63" s="7" t="n"/>
      <c r="D63" s="8">
        <f>SUM(D56:D62)</f>
        <v/>
      </c>
      <c r="E63" s="8">
        <f>SUM(E56:E62)</f>
        <v/>
      </c>
      <c r="F63" s="8">
        <f>SUM(F56:F62)</f>
        <v/>
      </c>
    </row>
    <row r="65">
      <c r="A65" s="2" t="inlineStr">
        <is>
          <t>Dépenses totales</t>
        </is>
      </c>
      <c r="D65" s="13">
        <f>D33+D44+D55+D63</f>
        <v/>
      </c>
      <c r="E65" s="13">
        <f>E33+E44+E55+E63</f>
        <v/>
      </c>
      <c r="F65" s="13">
        <f>D65+E65</f>
        <v/>
      </c>
    </row>
    <row r="66">
      <c r="A66" s="2" t="inlineStr">
        <is>
          <t>Chiffre d'affaires</t>
        </is>
      </c>
      <c r="D66" s="13">
        <f>G12</f>
        <v/>
      </c>
      <c r="E66" s="13">
        <f>F12-G12</f>
        <v/>
      </c>
      <c r="F66" s="13">
        <f>F12</f>
        <v/>
      </c>
    </row>
    <row r="67">
      <c r="A67" s="14" t="inlineStr">
        <is>
          <t>TVA résiduelle</t>
        </is>
      </c>
      <c r="F67" s="5">
        <f>(E66) - E65</f>
        <v/>
      </c>
    </row>
    <row r="68">
      <c r="A68" s="2" t="inlineStr">
        <is>
          <t>Résultat net</t>
        </is>
      </c>
      <c r="D68" s="13">
        <f>D66-D65</f>
        <v/>
      </c>
      <c r="E68" s="15">
        <f>D68/D66</f>
        <v/>
      </c>
    </row>
    <row r="69">
      <c r="A69" s="14" t="inlineStr">
        <is>
          <t>Cash flow</t>
        </is>
      </c>
      <c r="D69" s="5">
        <f>D68+D48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2026-10-06T21:47:39Z</dcterms:created>
  <dcterms:modified xsi:type="dcterms:W3CDTF">2026-10-06T21:47:39Z</dcterms:modified>
</cp:coreProperties>
</file>